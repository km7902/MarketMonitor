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2325" codeName="{2109D909-C6D8-E34B-4C66-09127ED2DC46}"/>
  <workbookPr filterPrivacy="1" codeName="ThisWorkbook"/>
  <xr:revisionPtr revIDLastSave="0" documentId="13_ncr:1_{5C219317-E84B-48BD-BD3D-916F21C10855}" xr6:coauthVersionLast="45" xr6:coauthVersionMax="45" xr10:uidLastSave="{00000000-0000-0000-0000-000000000000}"/>
  <bookViews>
    <workbookView xWindow="-98" yWindow="-98" windowWidth="21795" windowHeight="13096" xr2:uid="{00000000-000D-0000-FFFF-FFFF00000000}"/>
  </bookViews>
  <sheets>
    <sheet name="Sheet1" sheetId="1" r:id="rId1"/>
    <sheet name="Sheet2" sheetId="2" r:id="rId2"/>
  </sheets>
  <definedNames>
    <definedName name="GMO_365">Sheet1!#REF!</definedName>
    <definedName name="GMO_CFD">Sheet1!#REF!</definedName>
    <definedName name="GMO_DOCS">Sheet1!#REF!</definedName>
    <definedName name="GMO_FX">Sheet1!#REF!</definedName>
    <definedName name="GMO_PASS">Sheet1!$H$8</definedName>
    <definedName name="GMO_URL">Sheet1!$H$5</definedName>
    <definedName name="GMO_USER">Sheet1!$H$7</definedName>
    <definedName name="_xlnm.Print_Area" localSheetId="1">Sheet2!$A$1:$G$48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6" i="2" l="1"/>
  <c r="B13" i="2" l="1"/>
  <c r="E13" i="2" s="1"/>
  <c r="F13" i="2" l="1"/>
  <c r="G13" i="2"/>
  <c r="E6" i="2"/>
  <c r="B8" i="2"/>
  <c r="G8" i="2" s="1"/>
  <c r="B9" i="2"/>
  <c r="E9" i="2" s="1"/>
  <c r="B10" i="2"/>
  <c r="E10" i="2" s="1"/>
  <c r="B11" i="2"/>
  <c r="E11" i="2" s="1"/>
  <c r="B12" i="2"/>
  <c r="E12" i="2" s="1"/>
  <c r="B14" i="2"/>
  <c r="E14" i="2" s="1"/>
  <c r="B15" i="2"/>
  <c r="E15" i="2" s="1"/>
  <c r="B16" i="2"/>
  <c r="E16" i="2" s="1"/>
  <c r="B17" i="2"/>
  <c r="E17" i="2" s="1"/>
  <c r="B18" i="2"/>
  <c r="E18" i="2" s="1"/>
  <c r="B19" i="2"/>
  <c r="E19" i="2" s="1"/>
  <c r="B20" i="2"/>
  <c r="E20" i="2" s="1"/>
  <c r="B21" i="2"/>
  <c r="E21" i="2" s="1"/>
  <c r="B22" i="2"/>
  <c r="E22" i="2" s="1"/>
  <c r="B23" i="2"/>
  <c r="E23" i="2" s="1"/>
  <c r="B24" i="2"/>
  <c r="E24" i="2" s="1"/>
  <c r="B7" i="2"/>
  <c r="E7" i="2" s="1"/>
  <c r="G6" i="2"/>
  <c r="F6" i="2"/>
  <c r="F7" i="2" l="1"/>
  <c r="F8" i="2"/>
  <c r="G7" i="2"/>
  <c r="E8" i="2"/>
  <c r="F9" i="2"/>
  <c r="G9" i="2"/>
  <c r="F10" i="2" l="1"/>
  <c r="G10" i="2"/>
  <c r="G11" i="2" l="1"/>
  <c r="F11" i="2"/>
  <c r="F12" i="2" l="1"/>
  <c r="G12" i="2"/>
  <c r="F14" i="2" l="1"/>
  <c r="G14" i="2"/>
  <c r="F15" i="2" l="1"/>
  <c r="G15" i="2"/>
  <c r="G16" i="2" l="1"/>
  <c r="F16" i="2"/>
  <c r="G17" i="2" l="1"/>
  <c r="F17" i="2"/>
  <c r="F18" i="2" l="1"/>
  <c r="G18" i="2"/>
  <c r="F19" i="2" l="1"/>
  <c r="G19" i="2"/>
  <c r="G20" i="2" l="1"/>
  <c r="F20" i="2"/>
  <c r="F21" i="2" l="1"/>
  <c r="G21" i="2"/>
  <c r="F22" i="2" l="1"/>
  <c r="G22" i="2"/>
  <c r="F23" i="2" l="1"/>
  <c r="G23" i="2"/>
  <c r="G24" i="2" l="1"/>
  <c r="F24" i="2"/>
</calcChain>
</file>

<file path=xl/sharedStrings.xml><?xml version="1.0" encoding="utf-8"?>
<sst xmlns="http://schemas.openxmlformats.org/spreadsheetml/2006/main" count="56" uniqueCount="38">
  <si>
    <t>ユーザー</t>
    <phoneticPr fontId="1"/>
  </si>
  <si>
    <t>パスワード</t>
    <phoneticPr fontId="1"/>
  </si>
  <si>
    <t>ログイン</t>
    <phoneticPr fontId="1"/>
  </si>
  <si>
    <t>Date</t>
  </si>
  <si>
    <t>Pair</t>
  </si>
  <si>
    <t>No</t>
  </si>
  <si>
    <t>Download URL</t>
  </si>
  <si>
    <t>Download File</t>
  </si>
  <si>
    <t>■</t>
  </si>
  <si>
    <t>USDJPY</t>
  </si>
  <si>
    <t>EURJPY</t>
  </si>
  <si>
    <t>GBPJPY</t>
  </si>
  <si>
    <t>AUDJPY</t>
  </si>
  <si>
    <t>NZDJPY</t>
  </si>
  <si>
    <t>CADJPY</t>
  </si>
  <si>
    <t>CHFJPY</t>
  </si>
  <si>
    <t>EURUSD</t>
  </si>
  <si>
    <t>GBPUSD</t>
  </si>
  <si>
    <t>AUDUSD</t>
  </si>
  <si>
    <t>NZDUSD</t>
  </si>
  <si>
    <t>EURGBP</t>
  </si>
  <si>
    <t>EURAUD</t>
  </si>
  <si>
    <t>GBPAUD</t>
  </si>
  <si>
    <t>EURCHF</t>
  </si>
  <si>
    <t>GBPCHF</t>
  </si>
  <si>
    <t>USDCHF</t>
  </si>
  <si>
    <t>File</t>
    <phoneticPr fontId="1"/>
  </si>
  <si>
    <t>https://sec-sso.click-sec.com/loginweb/</t>
    <phoneticPr fontId="1"/>
  </si>
  <si>
    <t>ZARJPY</t>
    <phoneticPr fontId="1"/>
  </si>
  <si>
    <t>TRYJPY</t>
    <phoneticPr fontId="1"/>
  </si>
  <si>
    <t>GMO FX ヒストリカルデータ</t>
    <phoneticPr fontId="1"/>
  </si>
  <si>
    <t>GMO クリック証券作業マクロ</t>
    <rPh sb="8" eb="10">
      <t>ショウケン</t>
    </rPh>
    <rPh sb="10" eb="12">
      <t>サギョウ</t>
    </rPh>
    <phoneticPr fontId="1"/>
  </si>
  <si>
    <t>※Windows Internet Explorer 11 のみで動作します。</t>
    <rPh sb="33" eb="35">
      <t>ドウサ</t>
    </rPh>
    <phoneticPr fontId="1"/>
  </si>
  <si>
    <t>※ユーザーとパスワードを入力してください。</t>
    <rPh sb="0" eb="21">
      <t>オシテ</t>
    </rPh>
    <phoneticPr fontId="1"/>
  </si>
  <si>
    <t>※ログインだけなら「ログイン」ボタンを押してください。</t>
    <phoneticPr fontId="1"/>
  </si>
  <si>
    <t>※GMO FX ヒストリカルデータ（月次）を取得したいときは Sheet2 の「ヒストリカル」ボタンを押してください。</t>
    <rPh sb="18" eb="20">
      <t>ゲツジ</t>
    </rPh>
    <rPh sb="22" eb="24">
      <t>シュトク</t>
    </rPh>
    <phoneticPr fontId="1"/>
  </si>
  <si>
    <t>※IE11 オートコンプリート等の通知バーが表示されるとマクロが停止することがあります。</t>
    <rPh sb="15" eb="16">
      <t>トウ</t>
    </rPh>
    <rPh sb="17" eb="19">
      <t>ツウチ</t>
    </rPh>
    <rPh sb="22" eb="24">
      <t>ヒョウジ</t>
    </rPh>
    <rPh sb="32" eb="34">
      <t>テイシ</t>
    </rPh>
    <phoneticPr fontId="1"/>
  </si>
  <si>
    <t>※取得したデータはダウンロードフォルダに保存されます。</t>
    <rPh sb="1" eb="3">
      <t>シュトク</t>
    </rPh>
    <rPh sb="20" eb="22">
      <t>ホゾン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</si>
</sst>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yyyy/mm/dd"/>
  </numFmts>
  <fonts count="9" x14ac:knownFonts="1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11"/>
      <color theme="1"/>
      <name val="Meiryo UI"/>
      <family val="3"/>
      <charset val="128"/>
    </font>
    <font>
      <b/>
      <sz val="11"/>
      <color theme="0"/>
      <name val="Meiryo UI"/>
      <family val="3"/>
      <charset val="128"/>
    </font>
    <font>
      <b/>
      <sz val="14"/>
      <color theme="0"/>
      <name val="Meiryo UI"/>
      <family val="3"/>
      <charset val="128"/>
    </font>
    <font>
      <b/>
      <sz val="14"/>
      <color theme="1"/>
      <name val="Meiryo UI"/>
      <family val="3"/>
      <charset val="128"/>
    </font>
    <font>
      <sz val="11"/>
      <color theme="0"/>
      <name val="Meiryo UI"/>
      <family val="3"/>
      <charset val="128"/>
    </font>
    <font>
      <b/>
      <sz val="11"/>
      <color rgb="FF000000"/>
      <name val="Meiryo UI"/>
      <family val="3"/>
      <charset val="128"/>
    </font>
    <font>
      <sz val="9"/>
      <color theme="1"/>
      <name val="Meiryo UI"/>
      <family val="3"/>
      <charset val="128"/>
    </font>
  </fonts>
  <fills count="4">
    <fill>
      <patternFill patternType="none"/>
    </fill>
    <fill>
      <patternFill patternType="gray125"/>
    </fill>
    <fill>
      <patternFill patternType="solid">
        <fgColor theme="1" tint="0.249977111117893"/>
        <bgColor indexed="64"/>
      </patternFill>
    </fill>
    <fill>
      <patternFill patternType="solid">
        <fgColor theme="0"/>
        <bgColor indexed="64"/>
      </patternFill>
    </fill>
  </fills>
  <borders count="10">
    <border>
      <left/>
      <right/>
      <top/>
      <bottom/>
      <diagonal/>
    </border>
    <border>
      <left style="thick">
        <color theme="1" tint="0.24994659260841701"/>
      </left>
      <right/>
      <top style="thick">
        <color theme="1" tint="0.24994659260841701"/>
      </top>
      <bottom style="thick">
        <color theme="1" tint="0.24994659260841701"/>
      </bottom>
      <diagonal/>
    </border>
    <border>
      <left/>
      <right/>
      <top style="thick">
        <color theme="1" tint="0.24994659260841701"/>
      </top>
      <bottom style="thick">
        <color theme="1" tint="0.24994659260841701"/>
      </bottom>
      <diagonal/>
    </border>
    <border>
      <left/>
      <right style="thick">
        <color theme="1" tint="0.24994659260841701"/>
      </right>
      <top style="thick">
        <color theme="1" tint="0.24994659260841701"/>
      </top>
      <bottom style="thick">
        <color theme="1" tint="0.24994659260841701"/>
      </bottom>
      <diagonal/>
    </border>
    <border>
      <left style="thick">
        <color theme="1" tint="0.24994659260841701"/>
      </left>
      <right/>
      <top style="thick">
        <color theme="1" tint="0.24994659260841701"/>
      </top>
      <bottom/>
      <diagonal/>
    </border>
    <border>
      <left/>
      <right/>
      <top style="thick">
        <color theme="1" tint="0.24994659260841701"/>
      </top>
      <bottom/>
      <diagonal/>
    </border>
    <border>
      <left/>
      <right style="thick">
        <color theme="1" tint="0.24994659260841701"/>
      </right>
      <top style="thick">
        <color theme="1" tint="0.24994659260841701"/>
      </top>
      <bottom/>
      <diagonal/>
    </border>
    <border>
      <left style="thick">
        <color theme="1" tint="0.24994659260841701"/>
      </left>
      <right/>
      <top/>
      <bottom style="thick">
        <color theme="1" tint="0.24994659260841701"/>
      </bottom>
      <diagonal/>
    </border>
    <border>
      <left/>
      <right/>
      <top/>
      <bottom style="thick">
        <color theme="1" tint="0.24994659260841701"/>
      </bottom>
      <diagonal/>
    </border>
    <border>
      <left/>
      <right style="thick">
        <color theme="1" tint="0.24994659260841701"/>
      </right>
      <top/>
      <bottom style="thick">
        <color theme="1" tint="0.24994659260841701"/>
      </bottom>
      <diagonal/>
    </border>
  </borders>
  <cellStyleXfs count="1">
    <xf numFmtId="0" fontId="0" fillId="0" borderId="0">
      <alignment vertical="center"/>
    </xf>
  </cellStyleXfs>
  <cellXfs count="23">
    <xf numFmtId="0" fontId="0" fillId="0" borderId="0" xfId="0">
      <alignment vertical="center"/>
    </xf>
    <xf numFmtId="0" fontId="2" fillId="0" borderId="0" xfId="0" applyFont="1">
      <alignment vertical="center"/>
    </xf>
    <xf numFmtId="0" fontId="2" fillId="0" borderId="0" xfId="0" applyFont="1" applyBorder="1">
      <alignment vertical="center"/>
    </xf>
    <xf numFmtId="0" fontId="2" fillId="2" borderId="0" xfId="0" applyFont="1" applyFill="1">
      <alignment vertical="center"/>
    </xf>
    <xf numFmtId="0" fontId="3" fillId="2" borderId="0" xfId="0" applyFont="1" applyFill="1">
      <alignment vertical="center"/>
    </xf>
    <xf numFmtId="0" fontId="3" fillId="2" borderId="0" xfId="0" applyFont="1" applyFill="1" applyAlignment="1"/>
    <xf numFmtId="176" fontId="2" fillId="0" borderId="0" xfId="0" applyNumberFormat="1" applyFont="1" applyAlignment="1">
      <alignment horizontal="left" vertical="center"/>
    </xf>
    <xf numFmtId="0" fontId="2" fillId="0" borderId="0" xfId="0" applyFont="1" applyFill="1">
      <alignment vertical="center"/>
    </xf>
    <xf numFmtId="0" fontId="3" fillId="2" borderId="1" xfId="0" applyFont="1" applyFill="1" applyBorder="1">
      <alignment vertical="center"/>
    </xf>
    <xf numFmtId="0" fontId="6" fillId="2" borderId="2" xfId="0" applyFont="1" applyFill="1" applyBorder="1">
      <alignment vertical="center"/>
    </xf>
    <xf numFmtId="0" fontId="3" fillId="2" borderId="4" xfId="0" applyFont="1" applyFill="1" applyBorder="1">
      <alignment vertical="center"/>
    </xf>
    <xf numFmtId="0" fontId="6" fillId="2" borderId="5" xfId="0" applyFont="1" applyFill="1" applyBorder="1">
      <alignment vertical="center"/>
    </xf>
    <xf numFmtId="0" fontId="3" fillId="2" borderId="7" xfId="0" applyFont="1" applyFill="1" applyBorder="1">
      <alignment vertical="center"/>
    </xf>
    <xf numFmtId="0" fontId="6" fillId="2" borderId="8" xfId="0" applyFont="1" applyFill="1" applyBorder="1">
      <alignment vertical="center"/>
    </xf>
    <xf numFmtId="0" fontId="8" fillId="0" borderId="0" xfId="0" applyFont="1">
      <alignment vertical="center"/>
    </xf>
    <xf numFmtId="0" fontId="5" fillId="0" borderId="0" xfId="0" applyFont="1" applyAlignment="1">
      <alignment vertical="center"/>
    </xf>
    <xf numFmtId="49" fontId="2" fillId="3" borderId="5" xfId="0" quotePrefix="1" applyNumberFormat="1" applyFont="1" applyFill="1" applyBorder="1" applyAlignment="1">
      <alignment vertical="center"/>
    </xf>
    <xf numFmtId="49" fontId="2" fillId="3" borderId="6" xfId="0" quotePrefix="1" applyNumberFormat="1" applyFont="1" applyFill="1" applyBorder="1" applyAlignment="1">
      <alignment vertical="center"/>
    </xf>
    <xf numFmtId="49" fontId="2" fillId="3" borderId="8" xfId="0" applyNumberFormat="1" applyFont="1" applyFill="1" applyBorder="1" applyAlignment="1">
      <alignment vertical="center"/>
    </xf>
    <xf numFmtId="49" fontId="2" fillId="3" borderId="9" xfId="0" applyNumberFormat="1" applyFont="1" applyFill="1" applyBorder="1" applyAlignment="1">
      <alignment vertical="center"/>
    </xf>
    <xf numFmtId="0" fontId="2" fillId="3" borderId="2" xfId="0" applyFont="1" applyFill="1" applyBorder="1" applyAlignment="1">
      <alignment vertical="center"/>
    </xf>
    <xf numFmtId="0" fontId="2" fillId="3" borderId="3" xfId="0" applyFont="1" applyFill="1" applyBorder="1" applyAlignment="1">
      <alignment vertical="center"/>
    </xf>
    <xf numFmtId="0" fontId="4" fillId="2" borderId="0" xfId="0" applyFont="1" applyFill="1" applyAlignment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9</xdr:row>
          <xdr:rowOff>0</xdr:rowOff>
        </xdr:from>
        <xdr:to>
          <xdr:col>7</xdr:col>
          <xdr:colOff>0</xdr:colOff>
          <xdr:row>11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45720" rIns="54864" bIns="45720" anchor="ctr" upright="1"/>
            <a:lstStyle/>
            <a:p>
              <a:pPr algn="ctr" rtl="0">
                <a:defRPr sz="1000"/>
              </a:pPr>
              <a:r>
                <a:rPr lang="ja-JP" altLang="en-US" sz="1100" b="1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ログイン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</xdr:row>
          <xdr:rowOff>0</xdr:rowOff>
        </xdr:from>
        <xdr:to>
          <xdr:col>6</xdr:col>
          <xdr:colOff>1195388</xdr:colOff>
          <xdr:row>3</xdr:row>
          <xdr:rowOff>0</xdr:rowOff>
        </xdr:to>
        <xdr:sp macro="" textlink="">
          <xdr:nvSpPr>
            <xdr:cNvPr id="2049" name="ボタン 3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45720" rIns="54864" bIns="45720" anchor="ctr" upright="1"/>
            <a:lstStyle/>
            <a:p>
              <a:pPr algn="ctr" rtl="0">
                <a:defRPr sz="1000"/>
              </a:pPr>
              <a:r>
                <a:rPr lang="ja-JP" altLang="en-US" sz="1100" b="1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ヒストリカル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2:Z20"/>
  <sheetViews>
    <sheetView tabSelected="1" workbookViewId="0">
      <selection activeCell="B2" sqref="B2:Q3"/>
    </sheetView>
  </sheetViews>
  <sheetFormatPr defaultColWidth="2.6640625" defaultRowHeight="15" customHeight="1" x14ac:dyDescent="0.25"/>
  <cols>
    <col min="1" max="16384" width="2.6640625" style="1"/>
  </cols>
  <sheetData>
    <row r="2" spans="2:26" ht="15" customHeight="1" x14ac:dyDescent="0.25">
      <c r="B2" s="15" t="s">
        <v>31</v>
      </c>
      <c r="C2" s="15"/>
      <c r="D2" s="15"/>
      <c r="E2" s="15"/>
      <c r="F2" s="15"/>
      <c r="G2" s="15"/>
      <c r="H2" s="15"/>
      <c r="I2" s="15"/>
      <c r="J2" s="15"/>
      <c r="K2" s="15"/>
      <c r="L2" s="15"/>
      <c r="M2" s="15"/>
      <c r="N2" s="15"/>
      <c r="O2" s="15"/>
      <c r="P2" s="15"/>
      <c r="Q2" s="15"/>
    </row>
    <row r="3" spans="2:26" ht="15" customHeight="1" x14ac:dyDescent="0.25">
      <c r="B3" s="15"/>
      <c r="C3" s="15"/>
      <c r="D3" s="15"/>
      <c r="E3" s="15"/>
      <c r="F3" s="15"/>
      <c r="G3" s="15"/>
      <c r="H3" s="15"/>
      <c r="I3" s="15"/>
      <c r="J3" s="15"/>
      <c r="K3" s="15"/>
      <c r="L3" s="15"/>
      <c r="M3" s="15"/>
      <c r="N3" s="15"/>
      <c r="O3" s="15"/>
      <c r="P3" s="15"/>
      <c r="Q3" s="15"/>
    </row>
    <row r="4" spans="2:26" ht="15" customHeight="1" thickBot="1" x14ac:dyDescent="0.3"/>
    <row r="5" spans="2:26" ht="15" customHeight="1" thickTop="1" thickBot="1" x14ac:dyDescent="0.3">
      <c r="B5" s="8" t="s">
        <v>2</v>
      </c>
      <c r="C5" s="9"/>
      <c r="D5" s="9"/>
      <c r="E5" s="9"/>
      <c r="F5" s="9"/>
      <c r="G5" s="9"/>
      <c r="H5" s="20" t="s">
        <v>27</v>
      </c>
      <c r="I5" s="20"/>
      <c r="J5" s="20"/>
      <c r="K5" s="20"/>
      <c r="L5" s="20"/>
      <c r="M5" s="20"/>
      <c r="N5" s="20"/>
      <c r="O5" s="20"/>
      <c r="P5" s="20"/>
      <c r="Q5" s="20"/>
      <c r="R5" s="20"/>
      <c r="S5" s="20"/>
      <c r="T5" s="20"/>
      <c r="U5" s="20"/>
      <c r="V5" s="20"/>
      <c r="W5" s="20"/>
      <c r="X5" s="20"/>
      <c r="Y5" s="21"/>
    </row>
    <row r="6" spans="2:26" ht="15" customHeight="1" thickTop="1" thickBot="1" x14ac:dyDescent="0.3"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</row>
    <row r="7" spans="2:26" ht="15" customHeight="1" thickTop="1" x14ac:dyDescent="0.25">
      <c r="B7" s="10" t="s">
        <v>0</v>
      </c>
      <c r="C7" s="11"/>
      <c r="D7" s="11"/>
      <c r="E7" s="11"/>
      <c r="F7" s="11"/>
      <c r="G7" s="11"/>
      <c r="H7" s="16"/>
      <c r="I7" s="16"/>
      <c r="J7" s="16"/>
      <c r="K7" s="16"/>
      <c r="L7" s="16"/>
      <c r="M7" s="16"/>
      <c r="N7" s="16"/>
      <c r="O7" s="16"/>
      <c r="P7" s="16"/>
      <c r="Q7" s="16"/>
      <c r="R7" s="16"/>
      <c r="S7" s="16"/>
      <c r="T7" s="16"/>
      <c r="U7" s="16"/>
      <c r="V7" s="16"/>
      <c r="W7" s="16"/>
      <c r="X7" s="16"/>
      <c r="Y7" s="17"/>
      <c r="Z7" s="7"/>
    </row>
    <row r="8" spans="2:26" ht="15" customHeight="1" thickBot="1" x14ac:dyDescent="0.3">
      <c r="B8" s="12" t="s">
        <v>1</v>
      </c>
      <c r="C8" s="13"/>
      <c r="D8" s="13"/>
      <c r="E8" s="13"/>
      <c r="F8" s="13"/>
      <c r="G8" s="13"/>
      <c r="H8" s="18"/>
      <c r="I8" s="18"/>
      <c r="J8" s="18"/>
      <c r="K8" s="18"/>
      <c r="L8" s="18"/>
      <c r="M8" s="18"/>
      <c r="N8" s="18"/>
      <c r="O8" s="18"/>
      <c r="P8" s="18"/>
      <c r="Q8" s="18"/>
      <c r="R8" s="18"/>
      <c r="S8" s="18"/>
      <c r="T8" s="18"/>
      <c r="U8" s="18"/>
      <c r="V8" s="18"/>
      <c r="W8" s="18"/>
      <c r="X8" s="18"/>
      <c r="Y8" s="19"/>
      <c r="Z8" s="7"/>
    </row>
    <row r="9" spans="2:26" ht="15" customHeight="1" thickTop="1" x14ac:dyDescent="0.25"/>
    <row r="14" spans="2:26" ht="15" customHeight="1" x14ac:dyDescent="0.25">
      <c r="B14" s="14" t="s">
        <v>32</v>
      </c>
    </row>
    <row r="15" spans="2:26" ht="15" customHeight="1" x14ac:dyDescent="0.25">
      <c r="B15" s="14" t="s">
        <v>36</v>
      </c>
    </row>
    <row r="17" spans="2:2" ht="15" customHeight="1" x14ac:dyDescent="0.25">
      <c r="B17" s="14" t="s">
        <v>33</v>
      </c>
    </row>
    <row r="18" spans="2:2" ht="15" customHeight="1" x14ac:dyDescent="0.25">
      <c r="B18" s="14" t="s">
        <v>34</v>
      </c>
    </row>
    <row r="19" spans="2:2" ht="15" customHeight="1" x14ac:dyDescent="0.25">
      <c r="B19" s="14" t="s">
        <v>35</v>
      </c>
    </row>
    <row r="20" spans="2:2" ht="15" customHeight="1" x14ac:dyDescent="0.25">
      <c r="B20" s="14" t="s">
        <v>37</v>
      </c>
    </row>
  </sheetData>
  <mergeCells count="4">
    <mergeCell ref="B2:Q3"/>
    <mergeCell ref="H7:Y7"/>
    <mergeCell ref="H8:Y8"/>
    <mergeCell ref="H5:Y5"/>
  </mergeCells>
  <phoneticPr fontId="1"/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GMO_Login">
                <anchor moveWithCells="1" sizeWithCells="1">
                  <from>
                    <xdr:col>1</xdr:col>
                    <xdr:colOff>0</xdr:colOff>
                    <xdr:row>9</xdr:row>
                    <xdr:rowOff>0</xdr:rowOff>
                  </from>
                  <to>
                    <xdr:col>7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G24"/>
  <sheetViews>
    <sheetView view="pageBreakPreview" zoomScaleNormal="100" zoomScaleSheetLayoutView="100" workbookViewId="0">
      <selection activeCell="B2" sqref="B2:D3"/>
    </sheetView>
  </sheetViews>
  <sheetFormatPr defaultColWidth="9" defaultRowHeight="15" x14ac:dyDescent="0.25"/>
  <cols>
    <col min="1" max="1" width="3.1328125" style="1" bestFit="1" customWidth="1"/>
    <col min="2" max="2" width="12.6640625" style="1" bestFit="1" customWidth="1"/>
    <col min="3" max="3" width="9.46484375" style="1" bestFit="1" customWidth="1"/>
    <col min="4" max="4" width="9.46484375" style="1" customWidth="1"/>
    <col min="5" max="5" width="100.86328125" style="1" bestFit="1" customWidth="1"/>
    <col min="6" max="6" width="21.86328125" style="1" bestFit="1" customWidth="1"/>
    <col min="7" max="7" width="22.19921875" style="1" bestFit="1" customWidth="1"/>
    <col min="8" max="16384" width="9" style="1"/>
  </cols>
  <sheetData>
    <row r="1" spans="1:7" s="3" customFormat="1" x14ac:dyDescent="0.25"/>
    <row r="2" spans="1:7" s="3" customFormat="1" x14ac:dyDescent="0.25">
      <c r="B2" s="22" t="s">
        <v>30</v>
      </c>
      <c r="C2" s="22"/>
      <c r="D2" s="22"/>
    </row>
    <row r="3" spans="1:7" s="3" customFormat="1" x14ac:dyDescent="0.25">
      <c r="B3" s="22"/>
      <c r="C3" s="22"/>
      <c r="D3" s="22"/>
    </row>
    <row r="4" spans="1:7" s="3" customFormat="1" x14ac:dyDescent="0.25"/>
    <row r="5" spans="1:7" s="4" customFormat="1" ht="15" customHeight="1" x14ac:dyDescent="0.45">
      <c r="B5" s="5" t="s">
        <v>3</v>
      </c>
      <c r="C5" s="5" t="s">
        <v>4</v>
      </c>
      <c r="D5" s="5" t="s">
        <v>5</v>
      </c>
      <c r="E5" s="5" t="s">
        <v>6</v>
      </c>
      <c r="F5" s="5" t="s">
        <v>7</v>
      </c>
      <c r="G5" s="5" t="s">
        <v>26</v>
      </c>
    </row>
    <row r="6" spans="1:7" x14ac:dyDescent="0.25">
      <c r="A6" s="1" t="s">
        <v>8</v>
      </c>
      <c r="B6" s="6">
        <f ca="1">DATE(YEAR(NOW()),MONTH(NOW())-1,1)</f>
        <v>43800</v>
      </c>
      <c r="C6" s="1" t="s">
        <v>9</v>
      </c>
      <c r="D6" s="1">
        <v>21</v>
      </c>
      <c r="E6" s="1" t="str">
        <f ca="1">"https://tb.click-sec.com/fx/historical/historicalDataDownload.do?y="&amp;TEXT(B6,"YYYY")&amp;"&amp;m="&amp;TEXT(B6,"MM")&amp;"&amp;c="&amp;TEXT(D6,"00")&amp;"&amp;n="&amp;C6</f>
        <v>https://tb.click-sec.com/fx/historical/historicalDataDownload.do?y=2019&amp;m=12&amp;c=21&amp;n=USDJPY</v>
      </c>
      <c r="F6" s="1" t="str">
        <f ca="1">C6&amp;"_"&amp;TEXT(B6,"YYYYMM")&amp;".zip"</f>
        <v>USDJPY_201912.zip</v>
      </c>
      <c r="G6" s="1" t="str">
        <f ca="1">C6&amp;"_"&amp;TEXT(B6,"YYYYMM")&amp;".csv"</f>
        <v>USDJPY_201912.csv</v>
      </c>
    </row>
    <row r="7" spans="1:7" x14ac:dyDescent="0.25">
      <c r="A7" s="1" t="s">
        <v>8</v>
      </c>
      <c r="B7" s="6">
        <f ca="1">B$6</f>
        <v>43800</v>
      </c>
      <c r="C7" s="1" t="s">
        <v>10</v>
      </c>
      <c r="D7" s="1">
        <v>22</v>
      </c>
      <c r="E7" s="1" t="str">
        <f t="shared" ref="E7:E24" ca="1" si="0">"https://tb.click-sec.com/fx/historical/historicalDataDownload.do?y="&amp;TEXT(B7,"YYYY")&amp;"&amp;m="&amp;TEXT(B7,"MM")&amp;"&amp;c="&amp;TEXT(D7,"00")&amp;"&amp;n="&amp;C7</f>
        <v>https://tb.click-sec.com/fx/historical/historicalDataDownload.do?y=2019&amp;m=12&amp;c=22&amp;n=EURJPY</v>
      </c>
      <c r="F7" s="1" t="str">
        <f t="shared" ref="F7:F24" ca="1" si="1">C7&amp;"_"&amp;TEXT(B7,"YYYYMM")&amp;".zip"</f>
        <v>EURJPY_201912.zip</v>
      </c>
      <c r="G7" s="1" t="str">
        <f t="shared" ref="G7:G24" ca="1" si="2">C7&amp;"_"&amp;TEXT(B7,"YYYYMM")&amp;".csv"</f>
        <v>EURJPY_201912.csv</v>
      </c>
    </row>
    <row r="8" spans="1:7" x14ac:dyDescent="0.25">
      <c r="A8" s="1" t="s">
        <v>8</v>
      </c>
      <c r="B8" s="6">
        <f t="shared" ref="B8:B24" ca="1" si="3">B$6</f>
        <v>43800</v>
      </c>
      <c r="C8" s="1" t="s">
        <v>11</v>
      </c>
      <c r="D8" s="1">
        <v>23</v>
      </c>
      <c r="E8" s="1" t="str">
        <f t="shared" ca="1" si="0"/>
        <v>https://tb.click-sec.com/fx/historical/historicalDataDownload.do?y=2019&amp;m=12&amp;c=23&amp;n=GBPJPY</v>
      </c>
      <c r="F8" s="1" t="str">
        <f t="shared" ca="1" si="1"/>
        <v>GBPJPY_201912.zip</v>
      </c>
      <c r="G8" s="1" t="str">
        <f t="shared" ca="1" si="2"/>
        <v>GBPJPY_201912.csv</v>
      </c>
    </row>
    <row r="9" spans="1:7" x14ac:dyDescent="0.25">
      <c r="A9" s="1" t="s">
        <v>8</v>
      </c>
      <c r="B9" s="6">
        <f t="shared" ca="1" si="3"/>
        <v>43800</v>
      </c>
      <c r="C9" s="1" t="s">
        <v>12</v>
      </c>
      <c r="D9" s="1">
        <v>24</v>
      </c>
      <c r="E9" s="1" t="str">
        <f t="shared" ca="1" si="0"/>
        <v>https://tb.click-sec.com/fx/historical/historicalDataDownload.do?y=2019&amp;m=12&amp;c=24&amp;n=AUDJPY</v>
      </c>
      <c r="F9" s="1" t="str">
        <f t="shared" ca="1" si="1"/>
        <v>AUDJPY_201912.zip</v>
      </c>
      <c r="G9" s="1" t="str">
        <f t="shared" ca="1" si="2"/>
        <v>AUDJPY_201912.csv</v>
      </c>
    </row>
    <row r="10" spans="1:7" x14ac:dyDescent="0.25">
      <c r="A10" s="1" t="s">
        <v>8</v>
      </c>
      <c r="B10" s="6">
        <f t="shared" ca="1" si="3"/>
        <v>43800</v>
      </c>
      <c r="C10" s="1" t="s">
        <v>13</v>
      </c>
      <c r="D10" s="1">
        <v>25</v>
      </c>
      <c r="E10" s="1" t="str">
        <f t="shared" ca="1" si="0"/>
        <v>https://tb.click-sec.com/fx/historical/historicalDataDownload.do?y=2019&amp;m=12&amp;c=25&amp;n=NZDJPY</v>
      </c>
      <c r="F10" s="1" t="str">
        <f t="shared" ca="1" si="1"/>
        <v>NZDJPY_201912.zip</v>
      </c>
      <c r="G10" s="1" t="str">
        <f t="shared" ca="1" si="2"/>
        <v>NZDJPY_201912.csv</v>
      </c>
    </row>
    <row r="11" spans="1:7" x14ac:dyDescent="0.25">
      <c r="A11" s="1" t="s">
        <v>8</v>
      </c>
      <c r="B11" s="6">
        <f t="shared" ca="1" si="3"/>
        <v>43800</v>
      </c>
      <c r="C11" s="1" t="s">
        <v>14</v>
      </c>
      <c r="D11" s="1">
        <v>26</v>
      </c>
      <c r="E11" s="1" t="str">
        <f t="shared" ca="1" si="0"/>
        <v>https://tb.click-sec.com/fx/historical/historicalDataDownload.do?y=2019&amp;m=12&amp;c=26&amp;n=CADJPY</v>
      </c>
      <c r="F11" s="1" t="str">
        <f t="shared" ca="1" si="1"/>
        <v>CADJPY_201912.zip</v>
      </c>
      <c r="G11" s="1" t="str">
        <f t="shared" ca="1" si="2"/>
        <v>CADJPY_201912.csv</v>
      </c>
    </row>
    <row r="12" spans="1:7" x14ac:dyDescent="0.25">
      <c r="A12" s="1" t="s">
        <v>8</v>
      </c>
      <c r="B12" s="6">
        <f t="shared" ca="1" si="3"/>
        <v>43800</v>
      </c>
      <c r="C12" s="1" t="s">
        <v>15</v>
      </c>
      <c r="D12" s="1">
        <v>27</v>
      </c>
      <c r="E12" s="1" t="str">
        <f t="shared" ca="1" si="0"/>
        <v>https://tb.click-sec.com/fx/historical/historicalDataDownload.do?y=2019&amp;m=12&amp;c=27&amp;n=CHFJPY</v>
      </c>
      <c r="F12" s="1" t="str">
        <f t="shared" ca="1" si="1"/>
        <v>CHFJPY_201912.zip</v>
      </c>
      <c r="G12" s="1" t="str">
        <f t="shared" ca="1" si="2"/>
        <v>CHFJPY_201912.csv</v>
      </c>
    </row>
    <row r="13" spans="1:7" x14ac:dyDescent="0.25">
      <c r="A13" s="1" t="s">
        <v>8</v>
      </c>
      <c r="B13" s="6">
        <f t="shared" ca="1" si="3"/>
        <v>43800</v>
      </c>
      <c r="C13" s="1" t="s">
        <v>29</v>
      </c>
      <c r="D13" s="1">
        <v>28</v>
      </c>
      <c r="E13" s="1" t="str">
        <f t="shared" ref="E13" ca="1" si="4">"https://tb.click-sec.com/fx/historical/historicalDataDownload.do?y="&amp;TEXT(B13,"YYYY")&amp;"&amp;m="&amp;TEXT(B13,"MM")&amp;"&amp;c="&amp;TEXT(D13,"00")&amp;"&amp;n="&amp;C13</f>
        <v>https://tb.click-sec.com/fx/historical/historicalDataDownload.do?y=2019&amp;m=12&amp;c=28&amp;n=TRYJPY</v>
      </c>
      <c r="F13" s="1" t="str">
        <f t="shared" ref="F13" ca="1" si="5">C13&amp;"_"&amp;TEXT(B13,"YYYYMM")&amp;".zip"</f>
        <v>TRYJPY_201912.zip</v>
      </c>
      <c r="G13" s="1" t="str">
        <f t="shared" ref="G13" ca="1" si="6">C13&amp;"_"&amp;TEXT(B13,"YYYYMM")&amp;".csv"</f>
        <v>TRYJPY_201912.csv</v>
      </c>
    </row>
    <row r="14" spans="1:7" x14ac:dyDescent="0.25">
      <c r="A14" s="1" t="s">
        <v>8</v>
      </c>
      <c r="B14" s="6">
        <f t="shared" ca="1" si="3"/>
        <v>43800</v>
      </c>
      <c r="C14" s="1" t="s">
        <v>28</v>
      </c>
      <c r="D14" s="1">
        <v>29</v>
      </c>
      <c r="E14" s="1" t="str">
        <f t="shared" ca="1" si="0"/>
        <v>https://tb.click-sec.com/fx/historical/historicalDataDownload.do?y=2019&amp;m=12&amp;c=29&amp;n=ZARJPY</v>
      </c>
      <c r="F14" s="1" t="str">
        <f t="shared" ca="1" si="1"/>
        <v>ZARJPY_201912.zip</v>
      </c>
      <c r="G14" s="1" t="str">
        <f t="shared" ca="1" si="2"/>
        <v>ZARJPY_201912.csv</v>
      </c>
    </row>
    <row r="15" spans="1:7" x14ac:dyDescent="0.25">
      <c r="A15" s="1" t="s">
        <v>8</v>
      </c>
      <c r="B15" s="6">
        <f t="shared" ca="1" si="3"/>
        <v>43800</v>
      </c>
      <c r="C15" s="1" t="s">
        <v>16</v>
      </c>
      <c r="D15" s="1">
        <v>31</v>
      </c>
      <c r="E15" s="1" t="str">
        <f t="shared" ca="1" si="0"/>
        <v>https://tb.click-sec.com/fx/historical/historicalDataDownload.do?y=2019&amp;m=12&amp;c=31&amp;n=EURUSD</v>
      </c>
      <c r="F15" s="1" t="str">
        <f t="shared" ca="1" si="1"/>
        <v>EURUSD_201912.zip</v>
      </c>
      <c r="G15" s="1" t="str">
        <f t="shared" ca="1" si="2"/>
        <v>EURUSD_201912.csv</v>
      </c>
    </row>
    <row r="16" spans="1:7" x14ac:dyDescent="0.25">
      <c r="A16" s="1" t="s">
        <v>8</v>
      </c>
      <c r="B16" s="6">
        <f t="shared" ca="1" si="3"/>
        <v>43800</v>
      </c>
      <c r="C16" s="1" t="s">
        <v>17</v>
      </c>
      <c r="D16" s="1">
        <v>32</v>
      </c>
      <c r="E16" s="1" t="str">
        <f t="shared" ca="1" si="0"/>
        <v>https://tb.click-sec.com/fx/historical/historicalDataDownload.do?y=2019&amp;m=12&amp;c=32&amp;n=GBPUSD</v>
      </c>
      <c r="F16" s="1" t="str">
        <f t="shared" ca="1" si="1"/>
        <v>GBPUSD_201912.zip</v>
      </c>
      <c r="G16" s="1" t="str">
        <f t="shared" ca="1" si="2"/>
        <v>GBPUSD_201912.csv</v>
      </c>
    </row>
    <row r="17" spans="1:7" x14ac:dyDescent="0.25">
      <c r="A17" s="1" t="s">
        <v>8</v>
      </c>
      <c r="B17" s="6">
        <f t="shared" ca="1" si="3"/>
        <v>43800</v>
      </c>
      <c r="C17" s="1" t="s">
        <v>18</v>
      </c>
      <c r="D17" s="1">
        <v>33</v>
      </c>
      <c r="E17" s="1" t="str">
        <f t="shared" ca="1" si="0"/>
        <v>https://tb.click-sec.com/fx/historical/historicalDataDownload.do?y=2019&amp;m=12&amp;c=33&amp;n=AUDUSD</v>
      </c>
      <c r="F17" s="1" t="str">
        <f t="shared" ca="1" si="1"/>
        <v>AUDUSD_201912.zip</v>
      </c>
      <c r="G17" s="1" t="str">
        <f t="shared" ca="1" si="2"/>
        <v>AUDUSD_201912.csv</v>
      </c>
    </row>
    <row r="18" spans="1:7" x14ac:dyDescent="0.25">
      <c r="A18" s="1" t="s">
        <v>8</v>
      </c>
      <c r="B18" s="6">
        <f t="shared" ca="1" si="3"/>
        <v>43800</v>
      </c>
      <c r="C18" s="1" t="s">
        <v>19</v>
      </c>
      <c r="D18" s="1">
        <v>34</v>
      </c>
      <c r="E18" s="1" t="str">
        <f t="shared" ca="1" si="0"/>
        <v>https://tb.click-sec.com/fx/historical/historicalDataDownload.do?y=2019&amp;m=12&amp;c=34&amp;n=NZDUSD</v>
      </c>
      <c r="F18" s="1" t="str">
        <f t="shared" ca="1" si="1"/>
        <v>NZDUSD_201912.zip</v>
      </c>
      <c r="G18" s="1" t="str">
        <f t="shared" ca="1" si="2"/>
        <v>NZDUSD_201912.csv</v>
      </c>
    </row>
    <row r="19" spans="1:7" x14ac:dyDescent="0.25">
      <c r="A19" s="1" t="s">
        <v>8</v>
      </c>
      <c r="B19" s="6">
        <f t="shared" ca="1" si="3"/>
        <v>43800</v>
      </c>
      <c r="C19" s="1" t="s">
        <v>20</v>
      </c>
      <c r="D19" s="1">
        <v>35</v>
      </c>
      <c r="E19" s="1" t="str">
        <f t="shared" ca="1" si="0"/>
        <v>https://tb.click-sec.com/fx/historical/historicalDataDownload.do?y=2019&amp;m=12&amp;c=35&amp;n=EURGBP</v>
      </c>
      <c r="F19" s="1" t="str">
        <f t="shared" ca="1" si="1"/>
        <v>EURGBP_201912.zip</v>
      </c>
      <c r="G19" s="1" t="str">
        <f t="shared" ca="1" si="2"/>
        <v>EURGBP_201912.csv</v>
      </c>
    </row>
    <row r="20" spans="1:7" x14ac:dyDescent="0.25">
      <c r="A20" s="1" t="s">
        <v>8</v>
      </c>
      <c r="B20" s="6">
        <f t="shared" ca="1" si="3"/>
        <v>43800</v>
      </c>
      <c r="C20" s="1" t="s">
        <v>21</v>
      </c>
      <c r="D20" s="1">
        <v>36</v>
      </c>
      <c r="E20" s="1" t="str">
        <f t="shared" ca="1" si="0"/>
        <v>https://tb.click-sec.com/fx/historical/historicalDataDownload.do?y=2019&amp;m=12&amp;c=36&amp;n=EURAUD</v>
      </c>
      <c r="F20" s="1" t="str">
        <f t="shared" ca="1" si="1"/>
        <v>EURAUD_201912.zip</v>
      </c>
      <c r="G20" s="1" t="str">
        <f t="shared" ca="1" si="2"/>
        <v>EURAUD_201912.csv</v>
      </c>
    </row>
    <row r="21" spans="1:7" x14ac:dyDescent="0.25">
      <c r="A21" s="1" t="s">
        <v>8</v>
      </c>
      <c r="B21" s="6">
        <f t="shared" ca="1" si="3"/>
        <v>43800</v>
      </c>
      <c r="C21" s="1" t="s">
        <v>22</v>
      </c>
      <c r="D21" s="1">
        <v>37</v>
      </c>
      <c r="E21" s="1" t="str">
        <f t="shared" ca="1" si="0"/>
        <v>https://tb.click-sec.com/fx/historical/historicalDataDownload.do?y=2019&amp;m=12&amp;c=37&amp;n=GBPAUD</v>
      </c>
      <c r="F21" s="1" t="str">
        <f t="shared" ca="1" si="1"/>
        <v>GBPAUD_201912.zip</v>
      </c>
      <c r="G21" s="1" t="str">
        <f t="shared" ca="1" si="2"/>
        <v>GBPAUD_201912.csv</v>
      </c>
    </row>
    <row r="22" spans="1:7" x14ac:dyDescent="0.25">
      <c r="A22" s="1" t="s">
        <v>8</v>
      </c>
      <c r="B22" s="6">
        <f t="shared" ca="1" si="3"/>
        <v>43800</v>
      </c>
      <c r="C22" s="1" t="s">
        <v>23</v>
      </c>
      <c r="D22" s="1">
        <v>39</v>
      </c>
      <c r="E22" s="1" t="str">
        <f t="shared" ca="1" si="0"/>
        <v>https://tb.click-sec.com/fx/historical/historicalDataDownload.do?y=2019&amp;m=12&amp;c=39&amp;n=EURCHF</v>
      </c>
      <c r="F22" s="1" t="str">
        <f t="shared" ca="1" si="1"/>
        <v>EURCHF_201912.zip</v>
      </c>
      <c r="G22" s="1" t="str">
        <f t="shared" ca="1" si="2"/>
        <v>EURCHF_201912.csv</v>
      </c>
    </row>
    <row r="23" spans="1:7" x14ac:dyDescent="0.25">
      <c r="A23" s="1" t="s">
        <v>8</v>
      </c>
      <c r="B23" s="6">
        <f t="shared" ca="1" si="3"/>
        <v>43800</v>
      </c>
      <c r="C23" s="1" t="s">
        <v>24</v>
      </c>
      <c r="D23" s="1">
        <v>40</v>
      </c>
      <c r="E23" s="1" t="str">
        <f t="shared" ca="1" si="0"/>
        <v>https://tb.click-sec.com/fx/historical/historicalDataDownload.do?y=2019&amp;m=12&amp;c=40&amp;n=GBPCHF</v>
      </c>
      <c r="F23" s="1" t="str">
        <f t="shared" ca="1" si="1"/>
        <v>GBPCHF_201912.zip</v>
      </c>
      <c r="G23" s="1" t="str">
        <f t="shared" ca="1" si="2"/>
        <v>GBPCHF_201912.csv</v>
      </c>
    </row>
    <row r="24" spans="1:7" x14ac:dyDescent="0.25">
      <c r="A24" s="1" t="s">
        <v>8</v>
      </c>
      <c r="B24" s="6">
        <f t="shared" ca="1" si="3"/>
        <v>43800</v>
      </c>
      <c r="C24" s="1" t="s">
        <v>25</v>
      </c>
      <c r="D24" s="1">
        <v>41</v>
      </c>
      <c r="E24" s="1" t="str">
        <f t="shared" ca="1" si="0"/>
        <v>https://tb.click-sec.com/fx/historical/historicalDataDownload.do?y=2019&amp;m=12&amp;c=41&amp;n=USDCHF</v>
      </c>
      <c r="F24" s="1" t="str">
        <f t="shared" ca="1" si="1"/>
        <v>USDCHF_201912.zip</v>
      </c>
      <c r="G24" s="1" t="str">
        <f t="shared" ca="1" si="2"/>
        <v>USDCHF_201912.csv</v>
      </c>
    </row>
  </sheetData>
  <mergeCells count="1">
    <mergeCell ref="B2:D3"/>
  </mergeCells>
  <phoneticPr fontId="1"/>
  <dataValidations count="1">
    <dataValidation type="list" allowBlank="1" showInputMessage="1" showErrorMessage="1" sqref="A6:A24" xr:uid="{00000000-0002-0000-0100-000000000000}">
      <formula1>"■"</formula1>
    </dataValidation>
  </dataValidations>
  <pageMargins left="0.7" right="0.7" top="0.75" bottom="0.75" header="0.3" footer="0.3"/>
  <pageSetup paperSize="9" scale="63" orientation="landscape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ボタン 3">
              <controlPr defaultSize="0" print="0" autoFill="0" autoPict="0" macro="[0]!GMO_Historical">
                <anchor moveWithCells="1" sizeWithCells="1">
                  <from>
                    <xdr:col>6</xdr:col>
                    <xdr:colOff>0</xdr:colOff>
                    <xdr:row>1</xdr:row>
                    <xdr:rowOff>0</xdr:rowOff>
                  </from>
                  <to>
                    <xdr:col>6</xdr:col>
                    <xdr:colOff>1195388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2</vt:i4>
      </vt:variant>
      <vt:variant>
        <vt:lpstr>名前付き一覧</vt:lpstr>
      </vt:variant>
      <vt:variant>
        <vt:i4>4</vt:i4>
      </vt:variant>
    </vt:vector>
  </HeadingPairs>
  <TitlesOfParts>
    <vt:vector size="6" baseType="lpstr">
      <vt:lpstr>Sheet1</vt:lpstr>
      <vt:lpstr>Sheet2</vt:lpstr>
      <vt:lpstr>GMO_PASS</vt:lpstr>
      <vt:lpstr>GMO_URL</vt:lpstr>
      <vt:lpstr>GMO_USER</vt:lpstr>
      <vt:lpstr>Sheet2!Print_Area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2020-01-26T01:58:43Z</dcterms:created>
  <dcterms:modified xsi:type="dcterms:W3CDTF">2020-01-29T02:48:44Z</dcterms:modified>
</cp:coreProperties>
</file>